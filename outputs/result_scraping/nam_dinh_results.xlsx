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Results'!$A$1:$G$2586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  <comment ref="A2575" authorId="0" shapeId="0">
      <text>
        <t>Official source: https://www.thinhnam.net.in/ket-qua-xo-so-mien-nam.php?ngay=2026-09-03</t>
      </text>
    </comment>
    <comment ref="A2576" authorId="0" shapeId="0">
      <text>
        <t>Official source: https://www.thinhnam.net.in/ket-qua-xo-so-mien-nam.php?ngay=2026-09-04</t>
      </text>
    </comment>
    <comment ref="A2577" authorId="0" shapeId="0">
      <text>
        <t>Official source: https://www.thinhnam.net.in/ket-qua-xo-so-mien-nam.php?ngay=2026-09-05</t>
      </text>
    </comment>
    <comment ref="A2578" authorId="0" shapeId="0">
      <text>
        <t>Official source: https://www.thinhnam.net.in/ket-qua-xo-so-mien-nam.php?ngay=2026-09-06</t>
      </text>
    </comment>
    <comment ref="A2579" authorId="0" shapeId="0">
      <text>
        <t>Official source: https://www.thinhnam.net.in/ket-qua-xo-so-mien-nam.php?ngay=2026-09-07</t>
      </text>
    </comment>
    <comment ref="A2580" authorId="0" shapeId="0">
      <text>
        <t>Official source: https://www.thinhnam.net.in/ket-qua-xo-so-mien-nam.php?ngay=2026-09-08</t>
      </text>
    </comment>
    <comment ref="A2581" authorId="0" shapeId="0">
      <text>
        <t>Official source: https://www.thinhnam.net.in/ket-qua-xo-so-mien-nam.php?ngay=2026-09-09</t>
      </text>
    </comment>
    <comment ref="A2582" authorId="0" shapeId="0">
      <text>
        <t>Official source: https://www.thinhnam.net.in/ket-qua-xo-so-mien-nam.php?ngay=2026-09-10</t>
      </text>
    </comment>
    <comment ref="A2583" authorId="0" shapeId="0">
      <text>
        <t>Official source: https://www.thinhnam.net.in/ket-qua-xo-so-mien-nam.php?ngay=2026-09-11</t>
      </text>
    </comment>
    <comment ref="A2584" authorId="0" shapeId="0">
      <text>
        <t>Official source: https://www.thinhnam.net.in/ket-qua-xo-so-mien-nam.php?ngay=2026-09-12</t>
      </text>
    </comment>
    <comment ref="A2585" authorId="0" shapeId="0">
      <text>
        <t>Official source: https://www.thinhnam.net.in/ket-qua-xo-so-mien-nam.php?ngay=2026-09-13</t>
      </text>
    </comment>
    <comment ref="A2586" authorId="0" shapeId="0">
      <text>
        <t>Official source: https://www.thinhnam.net.in/ket-qua-xo-so-mien-nam.php?ngay=2026-09-14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586" headerRowCount="1">
  <autoFilter ref="A1:G2586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  <row r="2575" ht="20" customHeight="1" s="6">
      <c r="A2575" s="22" t="n">
        <v>46268</v>
      </c>
      <c r="B2575" s="23" t="n">
        <v>98497</v>
      </c>
      <c r="C2575" s="24">
        <f>INT(B2575/10000)</f>
        <v/>
      </c>
      <c r="D2575" s="24">
        <f>INT(MOD(B2575,10000)/1000)</f>
        <v/>
      </c>
      <c r="E2575" s="24">
        <f>INT(MOD(B2575,1000)/100)</f>
        <v/>
      </c>
      <c r="F2575" s="24">
        <f>INT(MOD(B2575,100)/10)</f>
        <v/>
      </c>
      <c r="G2575" s="24">
        <f>MOD(B2575,10)</f>
        <v/>
      </c>
    </row>
    <row r="2576" ht="20" customHeight="1" s="6">
      <c r="A2576" s="19" t="n">
        <v>46269</v>
      </c>
      <c r="B2576" s="20" t="n">
        <v>57687</v>
      </c>
      <c r="C2576" s="21">
        <f>INT(B2576/10000)</f>
        <v/>
      </c>
      <c r="D2576" s="21">
        <f>INT(MOD(B2576,10000)/1000)</f>
        <v/>
      </c>
      <c r="E2576" s="21">
        <f>INT(MOD(B2576,1000)/100)</f>
        <v/>
      </c>
      <c r="F2576" s="21">
        <f>INT(MOD(B2576,100)/10)</f>
        <v/>
      </c>
      <c r="G2576" s="21">
        <f>MOD(B2576,10)</f>
        <v/>
      </c>
    </row>
    <row r="2577" ht="20" customHeight="1" s="6">
      <c r="A2577" s="22" t="n">
        <v>46270</v>
      </c>
      <c r="B2577" s="23" t="n">
        <v>86472</v>
      </c>
      <c r="C2577" s="24">
        <f>INT(B2577/10000)</f>
        <v/>
      </c>
      <c r="D2577" s="24">
        <f>INT(MOD(B2577,10000)/1000)</f>
        <v/>
      </c>
      <c r="E2577" s="24">
        <f>INT(MOD(B2577,1000)/100)</f>
        <v/>
      </c>
      <c r="F2577" s="24">
        <f>INT(MOD(B2577,100)/10)</f>
        <v/>
      </c>
      <c r="G2577" s="24">
        <f>MOD(B2577,10)</f>
        <v/>
      </c>
    </row>
    <row r="2578" ht="20" customHeight="1" s="6">
      <c r="A2578" s="19" t="n">
        <v>46271</v>
      </c>
      <c r="B2578" s="20" t="n">
        <v>62606</v>
      </c>
      <c r="C2578" s="21">
        <f>INT(B2578/10000)</f>
        <v/>
      </c>
      <c r="D2578" s="21">
        <f>INT(MOD(B2578,10000)/1000)</f>
        <v/>
      </c>
      <c r="E2578" s="21">
        <f>INT(MOD(B2578,1000)/100)</f>
        <v/>
      </c>
      <c r="F2578" s="21">
        <f>INT(MOD(B2578,100)/10)</f>
        <v/>
      </c>
      <c r="G2578" s="21">
        <f>MOD(B2578,10)</f>
        <v/>
      </c>
    </row>
    <row r="2579" ht="20" customHeight="1" s="6">
      <c r="A2579" s="22" t="n">
        <v>46272</v>
      </c>
      <c r="B2579" s="23" t="n">
        <v>85876</v>
      </c>
      <c r="C2579" s="24">
        <f>INT(B2579/10000)</f>
        <v/>
      </c>
      <c r="D2579" s="24">
        <f>INT(MOD(B2579,10000)/1000)</f>
        <v/>
      </c>
      <c r="E2579" s="24">
        <f>INT(MOD(B2579,1000)/100)</f>
        <v/>
      </c>
      <c r="F2579" s="24">
        <f>INT(MOD(B2579,100)/10)</f>
        <v/>
      </c>
      <c r="G2579" s="24">
        <f>MOD(B2579,10)</f>
        <v/>
      </c>
    </row>
    <row r="2580" ht="20" customHeight="1" s="6">
      <c r="A2580" s="19" t="n">
        <v>46273</v>
      </c>
      <c r="B2580" s="20" t="n">
        <v>20665</v>
      </c>
      <c r="C2580" s="21">
        <f>INT(B2580/10000)</f>
        <v/>
      </c>
      <c r="D2580" s="21">
        <f>INT(MOD(B2580,10000)/1000)</f>
        <v/>
      </c>
      <c r="E2580" s="21">
        <f>INT(MOD(B2580,1000)/100)</f>
        <v/>
      </c>
      <c r="F2580" s="21">
        <f>INT(MOD(B2580,100)/10)</f>
        <v/>
      </c>
      <c r="G2580" s="21">
        <f>MOD(B2580,10)</f>
        <v/>
      </c>
    </row>
    <row r="2581" ht="20" customHeight="1" s="6">
      <c r="A2581" s="22" t="n">
        <v>46274</v>
      </c>
      <c r="B2581" s="23" t="n">
        <v>59518</v>
      </c>
      <c r="C2581" s="24">
        <f>INT(B2581/10000)</f>
        <v/>
      </c>
      <c r="D2581" s="24">
        <f>INT(MOD(B2581,10000)/1000)</f>
        <v/>
      </c>
      <c r="E2581" s="24">
        <f>INT(MOD(B2581,1000)/100)</f>
        <v/>
      </c>
      <c r="F2581" s="24">
        <f>INT(MOD(B2581,100)/10)</f>
        <v/>
      </c>
      <c r="G2581" s="24">
        <f>MOD(B2581,10)</f>
        <v/>
      </c>
    </row>
    <row r="2582" ht="20" customHeight="1" s="6">
      <c r="A2582" s="19" t="n">
        <v>46275</v>
      </c>
      <c r="B2582" s="20" t="n">
        <v>41225</v>
      </c>
      <c r="C2582" s="21">
        <f>INT(B2582/10000)</f>
        <v/>
      </c>
      <c r="D2582" s="21">
        <f>INT(MOD(B2582,10000)/1000)</f>
        <v/>
      </c>
      <c r="E2582" s="21">
        <f>INT(MOD(B2582,1000)/100)</f>
        <v/>
      </c>
      <c r="F2582" s="21">
        <f>INT(MOD(B2582,100)/10)</f>
        <v/>
      </c>
      <c r="G2582" s="21">
        <f>MOD(B2582,10)</f>
        <v/>
      </c>
    </row>
    <row r="2583" ht="20" customHeight="1" s="6">
      <c r="A2583" s="22" t="n">
        <v>46276</v>
      </c>
      <c r="B2583" s="23" t="n">
        <v>42095</v>
      </c>
      <c r="C2583" s="24">
        <f>INT(B2583/10000)</f>
        <v/>
      </c>
      <c r="D2583" s="24">
        <f>INT(MOD(B2583,10000)/1000)</f>
        <v/>
      </c>
      <c r="E2583" s="24">
        <f>INT(MOD(B2583,1000)/100)</f>
        <v/>
      </c>
      <c r="F2583" s="24">
        <f>INT(MOD(B2583,100)/10)</f>
        <v/>
      </c>
      <c r="G2583" s="24">
        <f>MOD(B2583,10)</f>
        <v/>
      </c>
    </row>
    <row r="2584" ht="20" customHeight="1" s="6">
      <c r="A2584" s="19" t="n">
        <v>46277</v>
      </c>
      <c r="B2584" s="20" t="n">
        <v>68699</v>
      </c>
      <c r="C2584" s="21">
        <f>INT(B2584/10000)</f>
        <v/>
      </c>
      <c r="D2584" s="21">
        <f>INT(MOD(B2584,10000)/1000)</f>
        <v/>
      </c>
      <c r="E2584" s="21">
        <f>INT(MOD(B2584,1000)/100)</f>
        <v/>
      </c>
      <c r="F2584" s="21">
        <f>INT(MOD(B2584,100)/10)</f>
        <v/>
      </c>
      <c r="G2584" s="21">
        <f>MOD(B2584,10)</f>
        <v/>
      </c>
    </row>
    <row r="2585" ht="20" customHeight="1" s="6">
      <c r="A2585" s="22" t="n">
        <v>46278</v>
      </c>
      <c r="B2585" s="23" t="n">
        <v>72340</v>
      </c>
      <c r="C2585" s="24">
        <f>INT(B2585/10000)</f>
        <v/>
      </c>
      <c r="D2585" s="24">
        <f>INT(MOD(B2585,10000)/1000)</f>
        <v/>
      </c>
      <c r="E2585" s="24">
        <f>INT(MOD(B2585,1000)/100)</f>
        <v/>
      </c>
      <c r="F2585" s="24">
        <f>INT(MOD(B2585,100)/10)</f>
        <v/>
      </c>
      <c r="G2585" s="24">
        <f>MOD(B2585,10)</f>
        <v/>
      </c>
    </row>
    <row r="2586" ht="20" customHeight="1" s="6">
      <c r="A2586" s="19" t="n">
        <v>46279</v>
      </c>
      <c r="B2586" s="20" t="n">
        <v>84029</v>
      </c>
      <c r="C2586" s="21">
        <f>INT(B2586/10000)</f>
        <v/>
      </c>
      <c r="D2586" s="21">
        <f>INT(MOD(B2586,10000)/1000)</f>
        <v/>
      </c>
      <c r="E2586" s="21">
        <f>INT(MOD(B2586,1000)/100)</f>
        <v/>
      </c>
      <c r="F2586" s="21">
        <f>INT(MOD(B2586,100)/10)</f>
        <v/>
      </c>
      <c r="G2586" s="21">
        <f>MOD(B2586,10)</f>
        <v/>
      </c>
    </row>
  </sheetData>
  <autoFilter ref="A1:G2586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2026-09-14T13:22:32Z</dcterms:modified>
</cp:coreProperties>
</file>