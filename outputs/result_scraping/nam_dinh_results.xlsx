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Results'!$A$1:$G$2616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  <comment ref="A2614" authorId="0" shapeId="0">
      <text>
        <t>Official source: https://www.thinhnam.net.in/ket-qua-xo-so-mien-nam.php?ngay=2026-10-12</t>
      </text>
    </comment>
    <comment ref="A2615" authorId="0" shapeId="0">
      <text>
        <t>Official source: https://www.thinhnam.net.in/ket-qua-xo-so-mien-nam.php?ngay=2026-10-13</t>
      </text>
    </comment>
    <comment ref="A2616" authorId="0" shapeId="0">
      <text>
        <t>Official source: https://www.thinhnam.net.in/ket-qua-xo-so-mien-nam.php?ngay=2026-10-14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16" headerRowCount="1">
  <autoFilter ref="A1:G2616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  <row r="2614" ht="20" customHeight="1" s="6">
      <c r="A2614" s="19" t="n">
        <v>46307</v>
      </c>
      <c r="B2614" s="20" t="n">
        <v>57694</v>
      </c>
      <c r="C2614" s="21">
        <f>INT(B2614/10000)</f>
        <v/>
      </c>
      <c r="D2614" s="21">
        <f>INT(MOD(B2614,10000)/1000)</f>
        <v/>
      </c>
      <c r="E2614" s="21">
        <f>INT(MOD(B2614,1000)/100)</f>
        <v/>
      </c>
      <c r="F2614" s="21">
        <f>INT(MOD(B2614,100)/10)</f>
        <v/>
      </c>
      <c r="G2614" s="21">
        <f>MOD(B2614,10)</f>
        <v/>
      </c>
    </row>
    <row r="2615" ht="20" customHeight="1" s="6">
      <c r="A2615" s="22" t="n">
        <v>46308</v>
      </c>
      <c r="B2615" s="23" t="n">
        <v>66193</v>
      </c>
      <c r="C2615" s="24">
        <f>INT(B2615/10000)</f>
        <v/>
      </c>
      <c r="D2615" s="24">
        <f>INT(MOD(B2615,10000)/1000)</f>
        <v/>
      </c>
      <c r="E2615" s="24">
        <f>INT(MOD(B2615,1000)/100)</f>
        <v/>
      </c>
      <c r="F2615" s="24">
        <f>INT(MOD(B2615,100)/10)</f>
        <v/>
      </c>
      <c r="G2615" s="24">
        <f>MOD(B2615,10)</f>
        <v/>
      </c>
    </row>
    <row r="2616" ht="20" customHeight="1" s="6">
      <c r="A2616" s="19" t="n">
        <v>46309</v>
      </c>
      <c r="B2616" s="20" t="n">
        <v>3382</v>
      </c>
      <c r="C2616" s="21">
        <f>INT(B2616/10000)</f>
        <v/>
      </c>
      <c r="D2616" s="21">
        <f>INT(MOD(B2616,10000)/1000)</f>
        <v/>
      </c>
      <c r="E2616" s="21">
        <f>INT(MOD(B2616,1000)/100)</f>
        <v/>
      </c>
      <c r="F2616" s="21">
        <f>INT(MOD(B2616,100)/10)</f>
        <v/>
      </c>
      <c r="G2616" s="21">
        <f>MOD(B2616,10)</f>
        <v/>
      </c>
    </row>
  </sheetData>
  <autoFilter ref="A1:G2616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2026-10-14T12:24:52Z</dcterms:modified>
</cp:coreProperties>
</file>