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Results'!$A$1:$G$2613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  <comment ref="A2607" authorId="0" shapeId="0">
      <text>
        <t>Official source: https://www.thinhnam.net.in/ket-qua-xo-so-mien-nam.php?ngay=2026-10-05</t>
      </text>
    </comment>
    <comment ref="A2608" authorId="0" shapeId="0">
      <text>
        <t>Official source: https://www.thinhnam.net.in/ket-qua-xo-so-mien-nam.php?ngay=2026-10-06</t>
      </text>
    </comment>
    <comment ref="A2609" authorId="0" shapeId="0">
      <text>
        <t>Official source: https://www.thinhnam.net.in/ket-qua-xo-so-mien-nam.php?ngay=2026-10-07</t>
      </text>
    </comment>
    <comment ref="A2610" authorId="0" shapeId="0">
      <text>
        <t>Official source: https://www.thinhnam.net.in/ket-qua-xo-so-mien-nam.php?ngay=2026-10-08</t>
      </text>
    </comment>
    <comment ref="A2611" authorId="0" shapeId="0">
      <text>
        <t>Official source: https://www.thinhnam.net.in/ket-qua-xo-so-mien-nam.php?ngay=2026-10-09</t>
      </text>
    </comment>
    <comment ref="A2612" authorId="0" shapeId="0">
      <text>
        <t>Official source: https://www.thinhnam.net.in/ket-qua-xo-so-mien-nam.php?ngay=2026-10-10</t>
      </text>
    </comment>
    <comment ref="A2613" authorId="0" shapeId="0">
      <text>
        <t>Official source: https://www.thinhnam.net.in/ket-qua-xo-so-mien-nam.php?ngay=2026-10-11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13" headerRowCount="1">
  <autoFilter ref="A1:G2613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  <row r="2607" ht="20" customHeight="1" s="6">
      <c r="A2607" s="22" t="n">
        <v>46300</v>
      </c>
      <c r="B2607" s="23" t="n">
        <v>32471</v>
      </c>
      <c r="C2607" s="24">
        <f>INT(B2607/10000)</f>
        <v/>
      </c>
      <c r="D2607" s="24">
        <f>INT(MOD(B2607,10000)/1000)</f>
        <v/>
      </c>
      <c r="E2607" s="24">
        <f>INT(MOD(B2607,1000)/100)</f>
        <v/>
      </c>
      <c r="F2607" s="24">
        <f>INT(MOD(B2607,100)/10)</f>
        <v/>
      </c>
      <c r="G2607" s="24">
        <f>MOD(B2607,10)</f>
        <v/>
      </c>
    </row>
    <row r="2608" ht="20" customHeight="1" s="6">
      <c r="A2608" s="19" t="n">
        <v>46301</v>
      </c>
      <c r="B2608" s="20" t="n">
        <v>79041</v>
      </c>
      <c r="C2608" s="21">
        <f>INT(B2608/10000)</f>
        <v/>
      </c>
      <c r="D2608" s="21">
        <f>INT(MOD(B2608,10000)/1000)</f>
        <v/>
      </c>
      <c r="E2608" s="21">
        <f>INT(MOD(B2608,1000)/100)</f>
        <v/>
      </c>
      <c r="F2608" s="21">
        <f>INT(MOD(B2608,100)/10)</f>
        <v/>
      </c>
      <c r="G2608" s="21">
        <f>MOD(B2608,10)</f>
        <v/>
      </c>
    </row>
    <row r="2609" ht="20" customHeight="1" s="6">
      <c r="A2609" s="22" t="n">
        <v>46302</v>
      </c>
      <c r="B2609" s="23" t="n">
        <v>10896</v>
      </c>
      <c r="C2609" s="24">
        <f>INT(B2609/10000)</f>
        <v/>
      </c>
      <c r="D2609" s="24">
        <f>INT(MOD(B2609,10000)/1000)</f>
        <v/>
      </c>
      <c r="E2609" s="24">
        <f>INT(MOD(B2609,1000)/100)</f>
        <v/>
      </c>
      <c r="F2609" s="24">
        <f>INT(MOD(B2609,100)/10)</f>
        <v/>
      </c>
      <c r="G2609" s="24">
        <f>MOD(B2609,10)</f>
        <v/>
      </c>
    </row>
    <row r="2610" ht="20" customHeight="1" s="6">
      <c r="A2610" s="19" t="n">
        <v>46303</v>
      </c>
      <c r="B2610" s="20" t="n">
        <v>70996</v>
      </c>
      <c r="C2610" s="21">
        <f>INT(B2610/10000)</f>
        <v/>
      </c>
      <c r="D2610" s="21">
        <f>INT(MOD(B2610,10000)/1000)</f>
        <v/>
      </c>
      <c r="E2610" s="21">
        <f>INT(MOD(B2610,1000)/100)</f>
        <v/>
      </c>
      <c r="F2610" s="21">
        <f>INT(MOD(B2610,100)/10)</f>
        <v/>
      </c>
      <c r="G2610" s="21">
        <f>MOD(B2610,10)</f>
        <v/>
      </c>
    </row>
    <row r="2611" ht="20" customHeight="1" s="6">
      <c r="A2611" s="22" t="n">
        <v>46304</v>
      </c>
      <c r="B2611" s="23" t="n">
        <v>16772</v>
      </c>
      <c r="C2611" s="24">
        <f>INT(B2611/10000)</f>
        <v/>
      </c>
      <c r="D2611" s="24">
        <f>INT(MOD(B2611,10000)/1000)</f>
        <v/>
      </c>
      <c r="E2611" s="24">
        <f>INT(MOD(B2611,1000)/100)</f>
        <v/>
      </c>
      <c r="F2611" s="24">
        <f>INT(MOD(B2611,100)/10)</f>
        <v/>
      </c>
      <c r="G2611" s="24">
        <f>MOD(B2611,10)</f>
        <v/>
      </c>
    </row>
    <row r="2612" ht="20" customHeight="1" s="6">
      <c r="A2612" s="19" t="n">
        <v>46305</v>
      </c>
      <c r="B2612" s="20" t="n">
        <v>76292</v>
      </c>
      <c r="C2612" s="21">
        <f>INT(B2612/10000)</f>
        <v/>
      </c>
      <c r="D2612" s="21">
        <f>INT(MOD(B2612,10000)/1000)</f>
        <v/>
      </c>
      <c r="E2612" s="21">
        <f>INT(MOD(B2612,1000)/100)</f>
        <v/>
      </c>
      <c r="F2612" s="21">
        <f>INT(MOD(B2612,100)/10)</f>
        <v/>
      </c>
      <c r="G2612" s="21">
        <f>MOD(B2612,10)</f>
        <v/>
      </c>
    </row>
    <row r="2613" ht="20" customHeight="1" s="6">
      <c r="A2613" s="22" t="n">
        <v>46306</v>
      </c>
      <c r="B2613" s="23" t="n">
        <v>22095</v>
      </c>
      <c r="C2613" s="24">
        <f>INT(B2613/10000)</f>
        <v/>
      </c>
      <c r="D2613" s="24">
        <f>INT(MOD(B2613,10000)/1000)</f>
        <v/>
      </c>
      <c r="E2613" s="24">
        <f>INT(MOD(B2613,1000)/100)</f>
        <v/>
      </c>
      <c r="F2613" s="24">
        <f>INT(MOD(B2613,100)/10)</f>
        <v/>
      </c>
      <c r="G2613" s="24">
        <f>MOD(B2613,10)</f>
        <v/>
      </c>
    </row>
  </sheetData>
  <autoFilter ref="A1:G2613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2026-10-11T13:33:27Z</dcterms:modified>
</cp:coreProperties>
</file>