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Results'!$A$1:$G$2622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  <comment ref="A2606" authorId="0" shapeId="0">
      <text>
        <t>Official source: https://www.thinhnam.net.in/ket-qua-xo-so-mien-nam.php?ngay=2026-10-04</t>
      </text>
    </comment>
    <comment ref="A2607" authorId="0" shapeId="0">
      <text>
        <t>Official source: https://www.thinhnam.net.in/ket-qua-xo-so-mien-nam.php?ngay=2026-10-05</t>
      </text>
    </comment>
    <comment ref="A2608" authorId="0" shapeId="0">
      <text>
        <t>Official source: https://www.thinhnam.net.in/ket-qua-xo-so-mien-nam.php?ngay=2026-10-06</t>
      </text>
    </comment>
    <comment ref="A2609" authorId="0" shapeId="0">
      <text>
        <t>Official source: https://www.thinhnam.net.in/ket-qua-xo-so-mien-nam.php?ngay=2026-10-07</t>
      </text>
    </comment>
    <comment ref="A2610" authorId="0" shapeId="0">
      <text>
        <t>Official source: https://www.thinhnam.net.in/ket-qua-xo-so-mien-nam.php?ngay=2026-10-08</t>
      </text>
    </comment>
    <comment ref="A2611" authorId="0" shapeId="0">
      <text>
        <t>Official source: https://www.thinhnam.net.in/ket-qua-xo-so-mien-nam.php?ngay=2026-10-09</t>
      </text>
    </comment>
    <comment ref="A2612" authorId="0" shapeId="0">
      <text>
        <t>Official source: https://www.thinhnam.net.in/ket-qua-xo-so-mien-nam.php?ngay=2026-10-10</t>
      </text>
    </comment>
    <comment ref="A2613" authorId="0" shapeId="0">
      <text>
        <t>Official source: https://www.thinhnam.net.in/ket-qua-xo-so-mien-nam.php?ngay=2026-10-11</t>
      </text>
    </comment>
    <comment ref="A2614" authorId="0" shapeId="0">
      <text>
        <t>Official source: https://www.thinhnam.net.in/ket-qua-xo-so-mien-nam.php?ngay=2026-10-12</t>
      </text>
    </comment>
    <comment ref="A2615" authorId="0" shapeId="0">
      <text>
        <t>Official source: https://www.thinhnam.net.in/ket-qua-xo-so-mien-nam.php?ngay=2026-10-13</t>
      </text>
    </comment>
    <comment ref="A2616" authorId="0" shapeId="0">
      <text>
        <t>Official source: https://www.thinhnam.net.in/ket-qua-xo-so-mien-nam.php?ngay=2026-10-14</t>
      </text>
    </comment>
    <comment ref="A2617" authorId="0" shapeId="0">
      <text>
        <t>Official source: https://www.thinhnam.net.in/ket-qua-xo-so-mien-nam.php?ngay=2026-10-15</t>
      </text>
    </comment>
    <comment ref="A2618" authorId="0" shapeId="0">
      <text>
        <t>Official source: https://www.thinhnam.net.in/ket-qua-xo-so-mien-nam.php?ngay=2026-10-16</t>
      </text>
    </comment>
    <comment ref="A2619" authorId="0" shapeId="0">
      <text>
        <t>Official source: https://www.thinhnam.net.in/ket-qua-xo-so-mien-nam.php?ngay=2026-10-17</t>
      </text>
    </comment>
    <comment ref="A2620" authorId="0" shapeId="0">
      <text>
        <t>Official source: https://www.thinhnam.net.in/ket-qua-xo-so-mien-nam.php?ngay=2026-10-18</t>
      </text>
    </comment>
    <comment ref="A2621" authorId="0" shapeId="0">
      <text>
        <t>Official source: https://www.thinhnam.net.in/ket-qua-xo-so-mien-nam.php?ngay=2026-10-19</t>
      </text>
    </comment>
    <comment ref="A2622" authorId="0" shapeId="0">
      <text>
        <t>Official source: https://www.thinhnam.net.in/ket-qua-xo-so-mien-nam.php?ngay=2026-10-20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22" headerRowCount="1">
  <autoFilter ref="A1:G2622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  <row r="2606" ht="20" customHeight="1" s="6">
      <c r="A2606" s="19" t="n">
        <v>46299</v>
      </c>
      <c r="B2606" s="20" t="n">
        <v>13996</v>
      </c>
      <c r="C2606" s="21">
        <f>INT(B2606/10000)</f>
        <v/>
      </c>
      <c r="D2606" s="21">
        <f>INT(MOD(B2606,10000)/1000)</f>
        <v/>
      </c>
      <c r="E2606" s="21">
        <f>INT(MOD(B2606,1000)/100)</f>
        <v/>
      </c>
      <c r="F2606" s="21">
        <f>INT(MOD(B2606,100)/10)</f>
        <v/>
      </c>
      <c r="G2606" s="21">
        <f>MOD(B2606,10)</f>
        <v/>
      </c>
    </row>
    <row r="2607" ht="20" customHeight="1" s="6">
      <c r="A2607" s="22" t="n">
        <v>46300</v>
      </c>
      <c r="B2607" s="23" t="n">
        <v>32471</v>
      </c>
      <c r="C2607" s="24">
        <f>INT(B2607/10000)</f>
        <v/>
      </c>
      <c r="D2607" s="24">
        <f>INT(MOD(B2607,10000)/1000)</f>
        <v/>
      </c>
      <c r="E2607" s="24">
        <f>INT(MOD(B2607,1000)/100)</f>
        <v/>
      </c>
      <c r="F2607" s="24">
        <f>INT(MOD(B2607,100)/10)</f>
        <v/>
      </c>
      <c r="G2607" s="24">
        <f>MOD(B2607,10)</f>
        <v/>
      </c>
    </row>
    <row r="2608" ht="20" customHeight="1" s="6">
      <c r="A2608" s="19" t="n">
        <v>46301</v>
      </c>
      <c r="B2608" s="20" t="n">
        <v>79041</v>
      </c>
      <c r="C2608" s="21">
        <f>INT(B2608/10000)</f>
        <v/>
      </c>
      <c r="D2608" s="21">
        <f>INT(MOD(B2608,10000)/1000)</f>
        <v/>
      </c>
      <c r="E2608" s="21">
        <f>INT(MOD(B2608,1000)/100)</f>
        <v/>
      </c>
      <c r="F2608" s="21">
        <f>INT(MOD(B2608,100)/10)</f>
        <v/>
      </c>
      <c r="G2608" s="21">
        <f>MOD(B2608,10)</f>
        <v/>
      </c>
    </row>
    <row r="2609" ht="20" customHeight="1" s="6">
      <c r="A2609" s="22" t="n">
        <v>46302</v>
      </c>
      <c r="B2609" s="23" t="n">
        <v>10896</v>
      </c>
      <c r="C2609" s="24">
        <f>INT(B2609/10000)</f>
        <v/>
      </c>
      <c r="D2609" s="24">
        <f>INT(MOD(B2609,10000)/1000)</f>
        <v/>
      </c>
      <c r="E2609" s="24">
        <f>INT(MOD(B2609,1000)/100)</f>
        <v/>
      </c>
      <c r="F2609" s="24">
        <f>INT(MOD(B2609,100)/10)</f>
        <v/>
      </c>
      <c r="G2609" s="24">
        <f>MOD(B2609,10)</f>
        <v/>
      </c>
    </row>
    <row r="2610" ht="20" customHeight="1" s="6">
      <c r="A2610" s="19" t="n">
        <v>46303</v>
      </c>
      <c r="B2610" s="20" t="n">
        <v>70996</v>
      </c>
      <c r="C2610" s="21">
        <f>INT(B2610/10000)</f>
        <v/>
      </c>
      <c r="D2610" s="21">
        <f>INT(MOD(B2610,10000)/1000)</f>
        <v/>
      </c>
      <c r="E2610" s="21">
        <f>INT(MOD(B2610,1000)/100)</f>
        <v/>
      </c>
      <c r="F2610" s="21">
        <f>INT(MOD(B2610,100)/10)</f>
        <v/>
      </c>
      <c r="G2610" s="21">
        <f>MOD(B2610,10)</f>
        <v/>
      </c>
    </row>
    <row r="2611" ht="20" customHeight="1" s="6">
      <c r="A2611" s="22" t="n">
        <v>46304</v>
      </c>
      <c r="B2611" s="23" t="n">
        <v>16772</v>
      </c>
      <c r="C2611" s="24">
        <f>INT(B2611/10000)</f>
        <v/>
      </c>
      <c r="D2611" s="24">
        <f>INT(MOD(B2611,10000)/1000)</f>
        <v/>
      </c>
      <c r="E2611" s="24">
        <f>INT(MOD(B2611,1000)/100)</f>
        <v/>
      </c>
      <c r="F2611" s="24">
        <f>INT(MOD(B2611,100)/10)</f>
        <v/>
      </c>
      <c r="G2611" s="24">
        <f>MOD(B2611,10)</f>
        <v/>
      </c>
    </row>
    <row r="2612" ht="20" customHeight="1" s="6">
      <c r="A2612" s="19" t="n">
        <v>46305</v>
      </c>
      <c r="B2612" s="20" t="n">
        <v>76292</v>
      </c>
      <c r="C2612" s="21">
        <f>INT(B2612/10000)</f>
        <v/>
      </c>
      <c r="D2612" s="21">
        <f>INT(MOD(B2612,10000)/1000)</f>
        <v/>
      </c>
      <c r="E2612" s="21">
        <f>INT(MOD(B2612,1000)/100)</f>
        <v/>
      </c>
      <c r="F2612" s="21">
        <f>INT(MOD(B2612,100)/10)</f>
        <v/>
      </c>
      <c r="G2612" s="21">
        <f>MOD(B2612,10)</f>
        <v/>
      </c>
    </row>
    <row r="2613" ht="20" customHeight="1" s="6">
      <c r="A2613" s="22" t="n">
        <v>46306</v>
      </c>
      <c r="B2613" s="23" t="n">
        <v>22095</v>
      </c>
      <c r="C2613" s="24">
        <f>INT(B2613/10000)</f>
        <v/>
      </c>
      <c r="D2613" s="24">
        <f>INT(MOD(B2613,10000)/1000)</f>
        <v/>
      </c>
      <c r="E2613" s="24">
        <f>INT(MOD(B2613,1000)/100)</f>
        <v/>
      </c>
      <c r="F2613" s="24">
        <f>INT(MOD(B2613,100)/10)</f>
        <v/>
      </c>
      <c r="G2613" s="24">
        <f>MOD(B2613,10)</f>
        <v/>
      </c>
    </row>
    <row r="2614" ht="20" customHeight="1" s="6">
      <c r="A2614" s="19" t="n">
        <v>46307</v>
      </c>
      <c r="B2614" s="20" t="n">
        <v>57694</v>
      </c>
      <c r="C2614" s="21">
        <f>INT(B2614/10000)</f>
        <v/>
      </c>
      <c r="D2614" s="21">
        <f>INT(MOD(B2614,10000)/1000)</f>
        <v/>
      </c>
      <c r="E2614" s="21">
        <f>INT(MOD(B2614,1000)/100)</f>
        <v/>
      </c>
      <c r="F2614" s="21">
        <f>INT(MOD(B2614,100)/10)</f>
        <v/>
      </c>
      <c r="G2614" s="21">
        <f>MOD(B2614,10)</f>
        <v/>
      </c>
    </row>
    <row r="2615" ht="20" customHeight="1" s="6">
      <c r="A2615" s="22" t="n">
        <v>46308</v>
      </c>
      <c r="B2615" s="23" t="n">
        <v>66193</v>
      </c>
      <c r="C2615" s="24">
        <f>INT(B2615/10000)</f>
        <v/>
      </c>
      <c r="D2615" s="24">
        <f>INT(MOD(B2615,10000)/1000)</f>
        <v/>
      </c>
      <c r="E2615" s="24">
        <f>INT(MOD(B2615,1000)/100)</f>
        <v/>
      </c>
      <c r="F2615" s="24">
        <f>INT(MOD(B2615,100)/10)</f>
        <v/>
      </c>
      <c r="G2615" s="24">
        <f>MOD(B2615,10)</f>
        <v/>
      </c>
    </row>
    <row r="2616" ht="20" customHeight="1" s="6">
      <c r="A2616" s="19" t="n">
        <v>46309</v>
      </c>
      <c r="B2616" s="20" t="n">
        <v>3382</v>
      </c>
      <c r="C2616" s="21">
        <f>INT(B2616/10000)</f>
        <v/>
      </c>
      <c r="D2616" s="21">
        <f>INT(MOD(B2616,10000)/1000)</f>
        <v/>
      </c>
      <c r="E2616" s="21">
        <f>INT(MOD(B2616,1000)/100)</f>
        <v/>
      </c>
      <c r="F2616" s="21">
        <f>INT(MOD(B2616,100)/10)</f>
        <v/>
      </c>
      <c r="G2616" s="21">
        <f>MOD(B2616,10)</f>
        <v/>
      </c>
    </row>
    <row r="2617" ht="20" customHeight="1" s="6">
      <c r="A2617" s="22" t="n">
        <v>46310</v>
      </c>
      <c r="B2617" s="23" t="n">
        <v>40803</v>
      </c>
      <c r="C2617" s="24">
        <f>INT(B2617/10000)</f>
        <v/>
      </c>
      <c r="D2617" s="24">
        <f>INT(MOD(B2617,10000)/1000)</f>
        <v/>
      </c>
      <c r="E2617" s="24">
        <f>INT(MOD(B2617,1000)/100)</f>
        <v/>
      </c>
      <c r="F2617" s="24">
        <f>INT(MOD(B2617,100)/10)</f>
        <v/>
      </c>
      <c r="G2617" s="24">
        <f>MOD(B2617,10)</f>
        <v/>
      </c>
    </row>
    <row r="2618" ht="20" customHeight="1" s="6">
      <c r="A2618" s="19" t="n">
        <v>46311</v>
      </c>
      <c r="B2618" s="20" t="n">
        <v>18870</v>
      </c>
      <c r="C2618" s="21">
        <f>INT(B2618/10000)</f>
        <v/>
      </c>
      <c r="D2618" s="21">
        <f>INT(MOD(B2618,10000)/1000)</f>
        <v/>
      </c>
      <c r="E2618" s="21">
        <f>INT(MOD(B2618,1000)/100)</f>
        <v/>
      </c>
      <c r="F2618" s="21">
        <f>INT(MOD(B2618,100)/10)</f>
        <v/>
      </c>
      <c r="G2618" s="21">
        <f>MOD(B2618,10)</f>
        <v/>
      </c>
    </row>
    <row r="2619" ht="20" customHeight="1" s="6">
      <c r="A2619" s="22" t="n">
        <v>46312</v>
      </c>
      <c r="B2619" s="23" t="n">
        <v>58106</v>
      </c>
      <c r="C2619" s="24">
        <f>INT(B2619/10000)</f>
        <v/>
      </c>
      <c r="D2619" s="24">
        <f>INT(MOD(B2619,10000)/1000)</f>
        <v/>
      </c>
      <c r="E2619" s="24">
        <f>INT(MOD(B2619,1000)/100)</f>
        <v/>
      </c>
      <c r="F2619" s="24">
        <f>INT(MOD(B2619,100)/10)</f>
        <v/>
      </c>
      <c r="G2619" s="24">
        <f>MOD(B2619,10)</f>
        <v/>
      </c>
    </row>
    <row r="2620" ht="20" customHeight="1" s="6">
      <c r="A2620" s="19" t="n">
        <v>46313</v>
      </c>
      <c r="B2620" s="20" t="n">
        <v>45826</v>
      </c>
      <c r="C2620" s="21">
        <f>INT(B2620/10000)</f>
        <v/>
      </c>
      <c r="D2620" s="21">
        <f>INT(MOD(B2620,10000)/1000)</f>
        <v/>
      </c>
      <c r="E2620" s="21">
        <f>INT(MOD(B2620,1000)/100)</f>
        <v/>
      </c>
      <c r="F2620" s="21">
        <f>INT(MOD(B2620,100)/10)</f>
        <v/>
      </c>
      <c r="G2620" s="21">
        <f>MOD(B2620,10)</f>
        <v/>
      </c>
    </row>
    <row r="2621" ht="20" customHeight="1" s="6">
      <c r="A2621" s="22" t="n">
        <v>46314</v>
      </c>
      <c r="B2621" s="23" t="n">
        <v>22106</v>
      </c>
      <c r="C2621" s="24">
        <f>INT(B2621/10000)</f>
        <v/>
      </c>
      <c r="D2621" s="24">
        <f>INT(MOD(B2621,10000)/1000)</f>
        <v/>
      </c>
      <c r="E2621" s="24">
        <f>INT(MOD(B2621,1000)/100)</f>
        <v/>
      </c>
      <c r="F2621" s="24">
        <f>INT(MOD(B2621,100)/10)</f>
        <v/>
      </c>
      <c r="G2621" s="24">
        <f>MOD(B2621,10)</f>
        <v/>
      </c>
    </row>
    <row r="2622" ht="20" customHeight="1" s="6">
      <c r="A2622" s="19" t="n">
        <v>46315</v>
      </c>
      <c r="B2622" s="20" t="n">
        <v>65182</v>
      </c>
      <c r="C2622" s="21">
        <f>INT(B2622/10000)</f>
        <v/>
      </c>
      <c r="D2622" s="21">
        <f>INT(MOD(B2622,10000)/1000)</f>
        <v/>
      </c>
      <c r="E2622" s="21">
        <f>INT(MOD(B2622,1000)/100)</f>
        <v/>
      </c>
      <c r="F2622" s="21">
        <f>INT(MOD(B2622,100)/10)</f>
        <v/>
      </c>
      <c r="G2622" s="21">
        <f>MOD(B2622,10)</f>
        <v/>
      </c>
    </row>
  </sheetData>
  <autoFilter ref="A1:G2622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2026-10-20T12:14:32Z</dcterms:modified>
</cp:coreProperties>
</file>