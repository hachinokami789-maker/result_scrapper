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Results'!$A$1:$G$2624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  <comment ref="A2618" authorId="0" shapeId="0">
      <text>
        <t>Official source: https://www.thinhnam.net.in/ket-qua-xo-so-mien-nam.php?ngay=2026-10-16</t>
      </text>
    </comment>
    <comment ref="A2619" authorId="0" shapeId="0">
      <text>
        <t>Official source: https://www.thinhnam.net.in/ket-qua-xo-so-mien-nam.php?ngay=2026-10-17</t>
      </text>
    </comment>
    <comment ref="A2620" authorId="0" shapeId="0">
      <text>
        <t>Official source: https://www.thinhnam.net.in/ket-qua-xo-so-mien-nam.php?ngay=2026-10-18</t>
      </text>
    </comment>
    <comment ref="A2621" authorId="0" shapeId="0">
      <text>
        <t>Official source: https://www.thinhnam.net.in/ket-qua-xo-so-mien-nam.php?ngay=2026-10-19</t>
      </text>
    </comment>
    <comment ref="A2622" authorId="0" shapeId="0">
      <text>
        <t>Official source: https://www.thinhnam.net.in/ket-qua-xo-so-mien-nam.php?ngay=2026-10-20</t>
      </text>
    </comment>
    <comment ref="A2623" authorId="0" shapeId="0">
      <text>
        <t>Official source: https://www.thinhnam.net.in/ket-qua-xo-so-mien-nam.php?ngay=2026-10-21</t>
      </text>
    </comment>
    <comment ref="A2624" authorId="0" shapeId="0">
      <text>
        <t>Official source: https://www.thinhnam.net.in/ket-qua-xo-so-mien-nam.php?ngay=2026-10-22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24" headerRowCount="1">
  <autoFilter ref="A1:G2624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  <row r="2618" ht="20" customHeight="1" s="6">
      <c r="A2618" s="19" t="n">
        <v>46311</v>
      </c>
      <c r="B2618" s="20" t="n">
        <v>18870</v>
      </c>
      <c r="C2618" s="21">
        <f>INT(B2618/10000)</f>
        <v/>
      </c>
      <c r="D2618" s="21">
        <f>INT(MOD(B2618,10000)/1000)</f>
        <v/>
      </c>
      <c r="E2618" s="21">
        <f>INT(MOD(B2618,1000)/100)</f>
        <v/>
      </c>
      <c r="F2618" s="21">
        <f>INT(MOD(B2618,100)/10)</f>
        <v/>
      </c>
      <c r="G2618" s="21">
        <f>MOD(B2618,10)</f>
        <v/>
      </c>
    </row>
    <row r="2619" ht="20" customHeight="1" s="6">
      <c r="A2619" s="22" t="n">
        <v>46312</v>
      </c>
      <c r="B2619" s="23" t="n">
        <v>58106</v>
      </c>
      <c r="C2619" s="24">
        <f>INT(B2619/10000)</f>
        <v/>
      </c>
      <c r="D2619" s="24">
        <f>INT(MOD(B2619,10000)/1000)</f>
        <v/>
      </c>
      <c r="E2619" s="24">
        <f>INT(MOD(B2619,1000)/100)</f>
        <v/>
      </c>
      <c r="F2619" s="24">
        <f>INT(MOD(B2619,100)/10)</f>
        <v/>
      </c>
      <c r="G2619" s="24">
        <f>MOD(B2619,10)</f>
        <v/>
      </c>
    </row>
    <row r="2620" ht="20" customHeight="1" s="6">
      <c r="A2620" s="19" t="n">
        <v>46313</v>
      </c>
      <c r="B2620" s="20" t="n">
        <v>45826</v>
      </c>
      <c r="C2620" s="21">
        <f>INT(B2620/10000)</f>
        <v/>
      </c>
      <c r="D2620" s="21">
        <f>INT(MOD(B2620,10000)/1000)</f>
        <v/>
      </c>
      <c r="E2620" s="21">
        <f>INT(MOD(B2620,1000)/100)</f>
        <v/>
      </c>
      <c r="F2620" s="21">
        <f>INT(MOD(B2620,100)/10)</f>
        <v/>
      </c>
      <c r="G2620" s="21">
        <f>MOD(B2620,10)</f>
        <v/>
      </c>
    </row>
    <row r="2621" ht="20" customHeight="1" s="6">
      <c r="A2621" s="22" t="n">
        <v>46314</v>
      </c>
      <c r="B2621" s="23" t="n">
        <v>22106</v>
      </c>
      <c r="C2621" s="24">
        <f>INT(B2621/10000)</f>
        <v/>
      </c>
      <c r="D2621" s="24">
        <f>INT(MOD(B2621,10000)/1000)</f>
        <v/>
      </c>
      <c r="E2621" s="24">
        <f>INT(MOD(B2621,1000)/100)</f>
        <v/>
      </c>
      <c r="F2621" s="24">
        <f>INT(MOD(B2621,100)/10)</f>
        <v/>
      </c>
      <c r="G2621" s="24">
        <f>MOD(B2621,10)</f>
        <v/>
      </c>
    </row>
    <row r="2622" ht="20" customHeight="1" s="6">
      <c r="A2622" s="19" t="n">
        <v>46315</v>
      </c>
      <c r="B2622" s="20" t="n">
        <v>65182</v>
      </c>
      <c r="C2622" s="21">
        <f>INT(B2622/10000)</f>
        <v/>
      </c>
      <c r="D2622" s="21">
        <f>INT(MOD(B2622,10000)/1000)</f>
        <v/>
      </c>
      <c r="E2622" s="21">
        <f>INT(MOD(B2622,1000)/100)</f>
        <v/>
      </c>
      <c r="F2622" s="21">
        <f>INT(MOD(B2622,100)/10)</f>
        <v/>
      </c>
      <c r="G2622" s="21">
        <f>MOD(B2622,10)</f>
        <v/>
      </c>
    </row>
    <row r="2623" ht="20" customHeight="1" s="6">
      <c r="A2623" s="22" t="n">
        <v>46316</v>
      </c>
      <c r="B2623" s="23" t="n">
        <v>5766</v>
      </c>
      <c r="C2623" s="24">
        <f>INT(B2623/10000)</f>
        <v/>
      </c>
      <c r="D2623" s="24">
        <f>INT(MOD(B2623,10000)/1000)</f>
        <v/>
      </c>
      <c r="E2623" s="24">
        <f>INT(MOD(B2623,1000)/100)</f>
        <v/>
      </c>
      <c r="F2623" s="24">
        <f>INT(MOD(B2623,100)/10)</f>
        <v/>
      </c>
      <c r="G2623" s="24">
        <f>MOD(B2623,10)</f>
        <v/>
      </c>
    </row>
    <row r="2624" ht="20" customHeight="1" s="6">
      <c r="A2624" s="19" t="n">
        <v>46317</v>
      </c>
      <c r="B2624" s="20" t="n">
        <v>133</v>
      </c>
      <c r="C2624" s="21">
        <f>INT(B2624/10000)</f>
        <v/>
      </c>
      <c r="D2624" s="21">
        <f>INT(MOD(B2624,10000)/1000)</f>
        <v/>
      </c>
      <c r="E2624" s="21">
        <f>INT(MOD(B2624,1000)/100)</f>
        <v/>
      </c>
      <c r="F2624" s="21">
        <f>INT(MOD(B2624,100)/10)</f>
        <v/>
      </c>
      <c r="G2624" s="21">
        <f>MOD(B2624,10)</f>
        <v/>
      </c>
    </row>
  </sheetData>
  <autoFilter ref="A1:G2624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2026-10-22T12:28:57Z</dcterms:modified>
</cp:coreProperties>
</file>